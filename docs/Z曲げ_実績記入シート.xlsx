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Z曲げ実績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sz val="14"/>
    </font>
    <font>
      <name val="Noto Sans CJK SC"/>
      <family val="2"/>
      <b val="1"/>
      <sz val="14"/>
    </font>
    <font>
      <name val="Noto Sans CJK SC"/>
      <family val="2"/>
      <sz val="9"/>
    </font>
    <font>
      <name val="Yu Gothic"/>
      <charset val="1"/>
      <family val="0"/>
      <sz val="9"/>
    </font>
    <font>
      <name val="Noto Sans CJK SC"/>
      <family val="2"/>
      <b val="1"/>
      <sz val="9"/>
    </font>
    <font>
      <name val="Yu Gothic"/>
      <charset val="1"/>
      <family val="0"/>
      <b val="1"/>
      <sz val="9"/>
    </font>
    <font>
      <name val="Noto Sans CJK SC"/>
      <family val="2"/>
      <b val="1"/>
      <sz val="10"/>
    </font>
    <font>
      <name val="Yu Gothic"/>
      <charset val="1"/>
      <family val="0"/>
      <sz val="10"/>
    </font>
    <font>
      <name val="Noto Sans CJK SC"/>
      <family val="2"/>
      <sz val="10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EAEAEA"/>
        <bgColor rgb="FFE2EFDA"/>
      </patternFill>
    </fill>
    <fill>
      <patternFill patternType="solid">
        <fgColor rgb="FFDCE6F1"/>
        <bgColor rgb="FFEAEAE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AEAEA"/>
      </patternFill>
    </fill>
    <fill>
      <patternFill patternType="solid">
        <fgColor rgb="FFF2F2F2"/>
        <bgColor rgb="FFEAEAEA"/>
      </patternFill>
    </fill>
    <fill>
      <patternFill patternType="solid">
        <fgColor rgb="00E8F2E8"/>
      </patternFill>
    </fill>
  </fills>
  <borders count="7">
    <border>
      <left/>
      <right/>
      <top/>
      <bottom/>
      <diagonal/>
    </border>
    <border>
      <left style="thin">
        <color rgb="FF9AA5AD"/>
      </left>
      <right style="thin">
        <color rgb="FF9AA5AD"/>
      </right>
      <top style="thin">
        <color rgb="FF9AA5AD"/>
      </top>
      <bottom style="thin">
        <color rgb="FF9AA5AD"/>
      </bottom>
      <diagonal/>
    </border>
    <border>
      <left style="thin">
        <color rgb="FF9AA5AD"/>
      </left>
      <right/>
      <top style="thin">
        <color rgb="FF9AA5AD"/>
      </top>
      <bottom style="thin">
        <color rgb="FF9AA5AD"/>
      </bottom>
      <diagonal/>
    </border>
    <border>
      <left/>
      <right/>
      <top style="thin">
        <color rgb="FF9AA5AD"/>
      </top>
      <bottom/>
      <diagonal/>
    </border>
    <border>
      <left/>
      <right style="thin">
        <color rgb="FF9AA5AD"/>
      </right>
      <top style="thin">
        <color rgb="FF9AA5AD"/>
      </top>
      <bottom/>
      <diagonal/>
    </border>
    <border>
      <left/>
      <right/>
      <top style="thin">
        <color rgb="FF9AA5AD"/>
      </top>
      <bottom style="thin">
        <color rgb="FF9AA5AD"/>
      </bottom>
      <diagonal/>
    </border>
    <border>
      <left/>
      <right style="thin">
        <color rgb="FF9AA5AD"/>
      </right>
      <top style="thin">
        <color rgb="FF9AA5AD"/>
      </top>
      <bottom style="thin">
        <color rgb="FF9AA5A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11" fillId="5" borderId="1" applyAlignment="1" applyProtection="1" pivotButton="0" quotePrefix="0" xfId="0">
      <alignment horizontal="left" vertical="center" wrapText="1"/>
      <protection locked="0" hidden="0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 wrapText="1"/>
    </xf>
    <xf numFmtId="0" fontId="12" fillId="5" borderId="1" applyAlignment="1" applyProtection="1" pivotButton="0" quotePrefix="0" xfId="0">
      <alignment horizontal="left" vertical="center" wrapText="1"/>
      <protection locked="0" hidden="0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3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0" fontId="10" fillId="7" borderId="2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11" fillId="5" borderId="1" applyAlignment="1" applyProtection="1" pivotButton="0" quotePrefix="0" xfId="0">
      <alignment horizontal="left" vertical="center" wrapText="1"/>
      <protection locked="0" hidden="0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12" fillId="5" borderId="1" applyAlignment="1" applyProtection="1" pivotButton="0" quotePrefix="0" xfId="0">
      <alignment horizontal="left" vertical="center" wrapText="1"/>
      <protection locked="0" hidden="0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5A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7" min="1" max="1"/>
    <col width="6" customWidth="1" style="27" min="2" max="2"/>
    <col width="8" customWidth="1" style="27" min="3" max="3"/>
    <col width="6" customWidth="1" style="27" min="4" max="4"/>
    <col width="7" customWidth="1" style="27" min="5" max="5"/>
    <col width="13" customWidth="1" style="27" min="6" max="6"/>
    <col width="10" customWidth="1" style="27" min="7" max="8"/>
    <col width="11" customWidth="1" style="27" min="9" max="10"/>
    <col width="10" customWidth="1" style="27" min="11" max="11"/>
    <col width="11" customWidth="1" style="27" min="12" max="13"/>
    <col width="20" customWidth="1" style="27" min="14" max="14"/>
    <col width="11" customWidth="1" style="27" min="15" max="15"/>
    <col width="12" customWidth="1" style="27" min="16" max="16"/>
    <col width="42" customWidth="1" style="27" min="17" max="17"/>
  </cols>
  <sheetData>
    <row r="1" ht="21.6" customHeight="1" s="28">
      <c r="A1" s="29" t="inlineStr">
        <is>
          <t>Z曲げ（段違い）実績記入シート ― 下型14型</t>
        </is>
      </c>
    </row>
    <row r="2" ht="15" customHeight="1" s="28">
      <c r="A2" s="30" t="inlineStr">
        <is>
          <t>株式会社高橋鉄骨　曲げ可否判断シート用　／　うすい青＝参考（さわらない）　うすい黄＝実際の値を書き込む欄</t>
        </is>
      </c>
    </row>
    <row r="3" ht="15" customHeight="1" s="28">
      <c r="A3" s="30" t="inlineStr">
        <is>
          <t>書き方：うすい黄の I〜N 列に、分かるところだけ数字を入れてください。上限が無いなら「なし」と入力。表に無い組合せは下の「その他」の行へ。</t>
        </is>
      </c>
    </row>
    <row r="4" ht="15" customHeight="1" s="28">
      <c r="A4" s="31" t="inlineStr">
        <is>
          <t>O・P列は自動計算：実際の最小段差Sが「暫定と幾何の大きいほう」になるかを見る欄です。Q列は写真の手書きを読み取ったときの注意点。</t>
        </is>
      </c>
    </row>
    <row r="6" ht="18" customHeight="1" s="28">
      <c r="A6" s="32" t="inlineStr">
        <is>
          <t>金型・材質・板厚</t>
        </is>
      </c>
      <c r="B6" s="33" t="n"/>
      <c r="C6" s="33" t="n"/>
      <c r="D6" s="33" t="n"/>
      <c r="E6" s="34" t="n"/>
      <c r="F6" s="32" t="inlineStr">
        <is>
          <t>参考 ── いまの計算値</t>
        </is>
      </c>
      <c r="G6" s="33" t="n"/>
      <c r="H6" s="34" t="n"/>
      <c r="I6" s="32" t="inlineStr">
        <is>
          <t>記入 ── 実際の値</t>
        </is>
      </c>
      <c r="J6" s="33" t="n"/>
      <c r="K6" s="33" t="n"/>
      <c r="L6" s="33" t="n"/>
      <c r="M6" s="33" t="n"/>
      <c r="N6" s="34" t="n"/>
      <c r="O6" s="32" t="inlineStr">
        <is>
          <t>確認</t>
        </is>
      </c>
      <c r="P6" s="34" t="n"/>
      <c r="Q6" s="32" t="inlineStr">
        <is>
          <t>読み取りメモ</t>
        </is>
      </c>
      <c r="R6" s="35" t="inlineStr">
        <is>
          <t>シミュレーション（2026-09-11 実行）</t>
        </is>
      </c>
    </row>
    <row r="7" ht="31.5" customHeight="1" s="28">
      <c r="A7" s="36" t="inlineStr">
        <is>
          <t>下型</t>
        </is>
      </c>
      <c r="B7" s="37" t="inlineStr">
        <is>
          <t>V幅</t>
        </is>
      </c>
      <c r="C7" s="36" t="inlineStr">
        <is>
          <t>曲げ内R</t>
        </is>
      </c>
      <c r="D7" s="36" t="inlineStr">
        <is>
          <t>材質</t>
        </is>
      </c>
      <c r="E7" s="36" t="inlineStr">
        <is>
          <t>板厚t</t>
        </is>
      </c>
      <c r="F7" s="38" t="inlineStr">
        <is>
          <t>最小フランジ外寸(表)</t>
        </is>
      </c>
      <c r="G7" s="38" t="inlineStr">
        <is>
          <t>段差S 暫定</t>
        </is>
      </c>
      <c r="H7" s="38" t="inlineStr">
        <is>
          <t>段差S 幾何</t>
        </is>
      </c>
      <c r="I7" s="39" t="inlineStr">
        <is>
          <t>フランジA 最小</t>
        </is>
      </c>
      <c r="J7" s="39" t="inlineStr">
        <is>
          <t>フランジA 最大</t>
        </is>
      </c>
      <c r="K7" s="39" t="inlineStr">
        <is>
          <t>段差S 最小</t>
        </is>
      </c>
      <c r="L7" s="39" t="inlineStr">
        <is>
          <t>フランジB 最小</t>
        </is>
      </c>
      <c r="M7" s="39" t="inlineStr">
        <is>
          <t>フランジB 最大</t>
        </is>
      </c>
      <c r="N7" s="39" t="inlineStr">
        <is>
          <t>備考</t>
        </is>
      </c>
      <c r="O7" s="40" t="inlineStr">
        <is>
          <t>予想 最小段差S</t>
        </is>
      </c>
      <c r="P7" s="40" t="inlineStr">
        <is>
          <t>差(実際-予想)</t>
        </is>
      </c>
      <c r="Q7" s="41" t="inlineStr">
        <is>
          <t>読み取りメモ</t>
        </is>
      </c>
      <c r="R7" s="42" t="inlineStr">
        <is>
          <t>sim 最小段差S</t>
        </is>
      </c>
      <c r="S7" s="42" t="inlineStr">
        <is>
          <t>厳しいほう</t>
        </is>
      </c>
      <c r="T7" s="42" t="inlineStr">
        <is>
          <t>実績−sim</t>
        </is>
      </c>
      <c r="U7" s="42" t="inlineStr">
        <is>
          <t>計算条件</t>
        </is>
      </c>
    </row>
    <row r="8" ht="15" customHeight="1" s="28">
      <c r="A8" s="43" t="inlineStr">
        <is>
          <t>材質：鉄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</row>
    <row r="9" ht="29.85" customHeight="1" s="28">
      <c r="A9" s="44" t="inlineStr">
        <is>
          <t>V8</t>
        </is>
      </c>
      <c r="B9" s="44" t="n">
        <v>8</v>
      </c>
      <c r="C9" s="44" t="n">
        <v>1.3</v>
      </c>
      <c r="D9" s="45" t="inlineStr">
        <is>
          <t>鉄</t>
        </is>
      </c>
      <c r="E9" s="44" t="n">
        <v>1.2</v>
      </c>
      <c r="F9" s="46" t="n">
        <v>6.5</v>
      </c>
      <c r="G9" s="46" t="n">
        <v>7.5</v>
      </c>
      <c r="H9" s="46" t="n"/>
      <c r="I9" s="47" t="n">
        <v>49</v>
      </c>
      <c r="J9" s="47" t="n"/>
      <c r="K9" s="47" t="n">
        <v>15.5</v>
      </c>
      <c r="L9" s="47" t="n"/>
      <c r="M9" s="47" t="n"/>
      <c r="N9" s="48" t="inlineStr">
        <is>
          <t>S35の場合 A95</t>
        </is>
      </c>
      <c r="O9" s="49">
        <f>IF(AND(G9="",H9=""),"",MAX(G9,H9))</f>
        <v/>
      </c>
      <c r="P9" s="49">
        <f>IF(OR(K9="",O9=""),"",K9-O9)</f>
        <v/>
      </c>
      <c r="Q9" s="50" t="inlineStr">
        <is>
          <t>フランジA最小・段差S最小とも修正液の上に書き直し。49 と読んだが要確認</t>
        </is>
      </c>
      <c r="R9" s="51" t="n">
        <v>19.7</v>
      </c>
      <c r="S9" s="51" t="n">
        <v>19.7</v>
      </c>
      <c r="T9" s="51" t="n">
        <v>-4.2</v>
      </c>
      <c r="U9" s="51" t="inlineStr">
        <is>
          <t>ヤゲン904061／両端フランジ80mm／971561 V8ｲﾝｻｰﾄ＋スタック（bending.dxf の一般化・参考）</t>
        </is>
      </c>
    </row>
    <row r="10" ht="29.85" customHeight="1" s="28">
      <c r="A10" s="44" t="inlineStr">
        <is>
          <t>V8</t>
        </is>
      </c>
      <c r="B10" s="44" t="n">
        <v>8</v>
      </c>
      <c r="C10" s="44" t="n">
        <v>1.3</v>
      </c>
      <c r="D10" s="45" t="inlineStr">
        <is>
          <t>鉄</t>
        </is>
      </c>
      <c r="E10" s="44" t="n">
        <v>1.6</v>
      </c>
      <c r="F10" s="46" t="n">
        <v>7.5</v>
      </c>
      <c r="G10" s="46" t="n">
        <v>8.699999999999999</v>
      </c>
      <c r="H10" s="46" t="n"/>
      <c r="I10" s="47" t="n">
        <v>49.5</v>
      </c>
      <c r="J10" s="47" t="n"/>
      <c r="K10" s="47" t="n">
        <v>16</v>
      </c>
      <c r="L10" s="47" t="n"/>
      <c r="M10" s="47" t="n"/>
      <c r="N10" s="52" t="inlineStr">
        <is>
          <t>〃 A95.5</t>
        </is>
      </c>
      <c r="O10" s="49">
        <f>IF(AND(G10="",H10=""),"",MAX(G10,H10))</f>
        <v/>
      </c>
      <c r="P10" s="49">
        <f>IF(OR(K10="",O10=""),"",K10-O10)</f>
        <v/>
      </c>
      <c r="Q10" s="50" t="inlineStr">
        <is>
          <t>フランジA最小は修正液の上。49.5 と読んだが要確認</t>
        </is>
      </c>
      <c r="R10" s="51" t="n">
        <v>20.5</v>
      </c>
      <c r="S10" s="51" t="n">
        <v>20.5</v>
      </c>
      <c r="T10" s="51" t="n">
        <v>-4.5</v>
      </c>
      <c r="U10" s="51" t="inlineStr">
        <is>
          <t>ヤゲン904061／両端フランジ80mm／971561 V8ｲﾝｻｰﾄ＋スタック（bending.dxf の一般化・参考）</t>
        </is>
      </c>
    </row>
    <row r="11" ht="15" customHeight="1" s="28">
      <c r="A11" s="44" t="inlineStr">
        <is>
          <t>V12</t>
        </is>
      </c>
      <c r="B11" s="44" t="n">
        <v>12</v>
      </c>
      <c r="C11" s="44" t="n">
        <v>2</v>
      </c>
      <c r="D11" s="45" t="inlineStr">
        <is>
          <t>鉄</t>
        </is>
      </c>
      <c r="E11" s="44" t="n">
        <v>1.2</v>
      </c>
      <c r="F11" s="46" t="n">
        <v>9</v>
      </c>
      <c r="G11" s="46" t="n">
        <v>9.6</v>
      </c>
      <c r="H11" s="46" t="n">
        <v>11</v>
      </c>
      <c r="I11" s="47" t="n">
        <v>49</v>
      </c>
      <c r="J11" s="47" t="n"/>
      <c r="K11" s="47" t="n">
        <v>22.5</v>
      </c>
      <c r="L11" s="47" t="n"/>
      <c r="M11" s="47" t="n"/>
      <c r="N11" s="48" t="inlineStr">
        <is>
          <t>S37の場合 A95</t>
        </is>
      </c>
      <c r="O11" s="49">
        <f>IF(AND(G11="",H11=""),"",MAX(G11,H11))</f>
        <v/>
      </c>
      <c r="P11" s="49">
        <f>IF(OR(K11="",O11=""),"",K11-O11)</f>
        <v/>
      </c>
      <c r="Q11" s="50" t="n"/>
      <c r="R11" s="51" t="n">
        <v>21</v>
      </c>
      <c r="S11" s="51" t="n">
        <v>22.5</v>
      </c>
      <c r="T11" s="51" t="n">
        <v>1.5</v>
      </c>
      <c r="U11" s="51" t="inlineStr">
        <is>
          <t>ヤゲン904061／両端フランジ80mm／974061 V12ｲﾝｻｰﾄ＋台（図面実測）</t>
        </is>
      </c>
    </row>
    <row r="12" ht="15" customHeight="1" s="28">
      <c r="A12" s="44" t="inlineStr">
        <is>
          <t>V12</t>
        </is>
      </c>
      <c r="B12" s="44" t="n">
        <v>12</v>
      </c>
      <c r="C12" s="44" t="n">
        <v>2</v>
      </c>
      <c r="D12" s="45" t="inlineStr">
        <is>
          <t>鉄</t>
        </is>
      </c>
      <c r="E12" s="44" t="n">
        <v>1.6</v>
      </c>
      <c r="F12" s="46" t="n">
        <v>10</v>
      </c>
      <c r="G12" s="46" t="n">
        <v>10.8</v>
      </c>
      <c r="H12" s="46" t="n">
        <v>11.5</v>
      </c>
      <c r="I12" s="47" t="n">
        <v>49.5</v>
      </c>
      <c r="J12" s="47" t="n"/>
      <c r="K12" s="47" t="n">
        <v>23</v>
      </c>
      <c r="L12" s="47" t="n"/>
      <c r="M12" s="47" t="n"/>
      <c r="N12" s="52" t="inlineStr">
        <is>
          <t>〃 A95.5</t>
        </is>
      </c>
      <c r="O12" s="49">
        <f>IF(AND(G12="",H12=""),"",MAX(G12,H12))</f>
        <v/>
      </c>
      <c r="P12" s="49">
        <f>IF(OR(K12="",O12=""),"",K12-O12)</f>
        <v/>
      </c>
      <c r="Q12" s="50" t="n"/>
      <c r="R12" s="51" t="n">
        <v>21.6</v>
      </c>
      <c r="S12" s="51" t="n">
        <v>23</v>
      </c>
      <c r="T12" s="51" t="n">
        <v>1.4</v>
      </c>
      <c r="U12" s="51" t="inlineStr">
        <is>
          <t>ヤゲン904061／両端フランジ80mm／974061 V12ｲﾝｻｰﾄ＋台（図面実測）</t>
        </is>
      </c>
    </row>
    <row r="13" ht="29.85" customHeight="1" s="28">
      <c r="A13" s="44" t="inlineStr">
        <is>
          <t>V12</t>
        </is>
      </c>
      <c r="B13" s="44" t="n">
        <v>12</v>
      </c>
      <c r="C13" s="44" t="n">
        <v>2</v>
      </c>
      <c r="D13" s="45" t="inlineStr">
        <is>
          <t>鉄</t>
        </is>
      </c>
      <c r="E13" s="44" t="n">
        <v>2.3</v>
      </c>
      <c r="F13" s="46" t="n">
        <v>10</v>
      </c>
      <c r="G13" s="46" t="n">
        <v>12.9</v>
      </c>
      <c r="H13" s="46" t="n">
        <v>12.3</v>
      </c>
      <c r="I13" s="47" t="n">
        <v>50</v>
      </c>
      <c r="J13" s="47" t="n"/>
      <c r="K13" s="47" t="n">
        <v>24</v>
      </c>
      <c r="L13" s="47" t="n"/>
      <c r="M13" s="47" t="n"/>
      <c r="N13" s="48" t="inlineStr">
        <is>
          <t>S38の場合 A96</t>
        </is>
      </c>
      <c r="O13" s="49">
        <f>IF(AND(G13="",H13=""),"",MAX(G13,H13))</f>
        <v/>
      </c>
      <c r="P13" s="49">
        <f>IF(OR(K13="",O13=""),"",K13-O13)</f>
        <v/>
      </c>
      <c r="Q13" s="50" t="inlineStr">
        <is>
          <t>段差S最小は印刷の 12.3 を修正液で消して 24 と書き直し</t>
        </is>
      </c>
      <c r="R13" s="51" t="n">
        <v>22.9</v>
      </c>
      <c r="S13" s="51" t="n">
        <v>24</v>
      </c>
      <c r="T13" s="51" t="n">
        <v>1.1</v>
      </c>
      <c r="U13" s="51" t="inlineStr">
        <is>
          <t>ヤゲン904061／両端フランジ80mm／974061 V12ｲﾝｻｰﾄ＋台（図面実測）</t>
        </is>
      </c>
    </row>
    <row r="14" ht="15" customHeight="1" s="28">
      <c r="A14" s="44" t="inlineStr">
        <is>
          <t>V16</t>
        </is>
      </c>
      <c r="B14" s="44" t="n">
        <v>16</v>
      </c>
      <c r="C14" s="44" t="n">
        <v>2.6</v>
      </c>
      <c r="D14" s="45" t="inlineStr">
        <is>
          <t>鉄</t>
        </is>
      </c>
      <c r="E14" s="44" t="n">
        <v>2.3</v>
      </c>
      <c r="F14" s="46" t="n">
        <v>12</v>
      </c>
      <c r="G14" s="46" t="n">
        <v>14.7</v>
      </c>
      <c r="H14" s="46" t="n"/>
      <c r="I14" s="47" t="n">
        <v>50</v>
      </c>
      <c r="J14" s="47" t="n"/>
      <c r="K14" s="47" t="n">
        <v>30</v>
      </c>
      <c r="L14" s="47" t="n"/>
      <c r="M14" s="47" t="n"/>
      <c r="N14" s="48" t="inlineStr">
        <is>
          <t>S40の場合 A96</t>
        </is>
      </c>
      <c r="O14" s="49">
        <f>IF(AND(G14="",H14=""),"",MAX(G14,H14))</f>
        <v/>
      </c>
      <c r="P14" s="49">
        <f>IF(OR(K14="",O14=""),"",K14-O14)</f>
        <v/>
      </c>
      <c r="Q14" s="50" t="n"/>
      <c r="R14" s="51" t="n">
        <v>22.1</v>
      </c>
      <c r="S14" s="51" t="n">
        <v>30</v>
      </c>
      <c r="T14" s="51" t="n">
        <v>7.9</v>
      </c>
      <c r="U14" s="51" t="inlineStr">
        <is>
          <t>ヤゲン904061／両端フランジ80mm／977061 V16ｲﾝｻｰﾄ＋スタック（bending.dxf の一般化・参考）</t>
        </is>
      </c>
    </row>
    <row r="15" ht="29.85" customHeight="1" s="28">
      <c r="A15" s="44" t="inlineStr">
        <is>
          <t>V16</t>
        </is>
      </c>
      <c r="B15" s="44" t="n">
        <v>16</v>
      </c>
      <c r="C15" s="44" t="n">
        <v>2.6</v>
      </c>
      <c r="D15" s="45" t="inlineStr">
        <is>
          <t>鉄</t>
        </is>
      </c>
      <c r="E15" s="44" t="n">
        <v>3.2</v>
      </c>
      <c r="F15" s="46" t="n">
        <v>13</v>
      </c>
      <c r="G15" s="46" t="n">
        <v>17.4</v>
      </c>
      <c r="H15" s="46" t="n"/>
      <c r="I15" s="47" t="n">
        <v>51</v>
      </c>
      <c r="J15" s="47" t="n"/>
      <c r="K15" s="47" t="n">
        <v>32</v>
      </c>
      <c r="L15" s="47" t="n"/>
      <c r="M15" s="47" t="n"/>
      <c r="N15" s="48" t="inlineStr">
        <is>
          <t>S42の場合 A97</t>
        </is>
      </c>
      <c r="O15" s="49">
        <f>IF(AND(G15="",H15=""),"",MAX(G15,H15))</f>
        <v/>
      </c>
      <c r="P15" s="49">
        <f>IF(OR(K15="",O15=""),"",K15-O15)</f>
        <v/>
      </c>
      <c r="Q15" s="50" t="inlineStr">
        <is>
          <t>フランジB最小の欄に「ℓ200」と記入あり（長さ200の意味か要確認）</t>
        </is>
      </c>
      <c r="R15" s="51" t="n">
        <v>23.7</v>
      </c>
      <c r="S15" s="51" t="n">
        <v>32</v>
      </c>
      <c r="T15" s="51" t="n">
        <v>8.300000000000001</v>
      </c>
      <c r="U15" s="51" t="inlineStr">
        <is>
          <t>ヤゲン904061／両端フランジ80mm／977061 V16ｲﾝｻｰﾄ＋スタック（bending.dxf の一般化・参考）</t>
        </is>
      </c>
    </row>
    <row r="16" ht="15" customHeight="1" s="28">
      <c r="A16" s="44" t="inlineStr">
        <is>
          <t>V20</t>
        </is>
      </c>
      <c r="B16" s="44" t="n">
        <v>20</v>
      </c>
      <c r="C16" s="44" t="n">
        <v>3.3</v>
      </c>
      <c r="D16" s="45" t="inlineStr">
        <is>
          <t>鉄</t>
        </is>
      </c>
      <c r="E16" s="44" t="n">
        <v>3.2</v>
      </c>
      <c r="F16" s="46" t="n">
        <v>15</v>
      </c>
      <c r="G16" s="46" t="n">
        <v>19.5</v>
      </c>
      <c r="H16" s="46" t="n"/>
      <c r="I16" s="47" t="n">
        <v>51</v>
      </c>
      <c r="J16" s="47" t="n"/>
      <c r="K16" s="47" t="n">
        <v>38</v>
      </c>
      <c r="L16" s="47" t="n"/>
      <c r="M16" s="47" t="n"/>
      <c r="N16" s="48" t="inlineStr">
        <is>
          <t>S43の場合 A97</t>
        </is>
      </c>
      <c r="O16" s="49">
        <f>IF(AND(G16="",H16=""),"",MAX(G16,H16))</f>
        <v/>
      </c>
      <c r="P16" s="49">
        <f>IF(OR(K16="",O16=""),"",K16-O16)</f>
        <v/>
      </c>
      <c r="Q16" s="50" t="n"/>
      <c r="R16" s="51" t="n">
        <v>23.9</v>
      </c>
      <c r="S16" s="51" t="n">
        <v>38</v>
      </c>
      <c r="T16" s="51" t="n">
        <v>14.1</v>
      </c>
      <c r="U16" s="51" t="inlineStr">
        <is>
          <t>ヤゲン904061／両端フランジ80mm／979061 V20ｲﾝｻｰﾄ＋スタック（bending.dxf の一般化・参考）</t>
        </is>
      </c>
    </row>
    <row r="17" ht="15" customHeight="1" s="28">
      <c r="A17" s="44" t="inlineStr">
        <is>
          <t>V20</t>
        </is>
      </c>
      <c r="B17" s="44" t="n">
        <v>20</v>
      </c>
      <c r="C17" s="44" t="n">
        <v>3.3</v>
      </c>
      <c r="D17" s="45" t="inlineStr">
        <is>
          <t>鉄</t>
        </is>
      </c>
      <c r="E17" s="44" t="n">
        <v>4.5</v>
      </c>
      <c r="F17" s="46" t="n">
        <v>17.5</v>
      </c>
      <c r="G17" s="46" t="n">
        <v>23.4</v>
      </c>
      <c r="H17" s="46" t="n"/>
      <c r="I17" s="47" t="n">
        <v>52</v>
      </c>
      <c r="J17" s="47" t="n"/>
      <c r="K17" s="47" t="n">
        <v>40</v>
      </c>
      <c r="L17" s="47" t="n"/>
      <c r="M17" s="47" t="n"/>
      <c r="N17" s="48" t="inlineStr">
        <is>
          <t>S45の場合 A98</t>
        </is>
      </c>
      <c r="O17" s="49">
        <f>IF(AND(G17="",H17=""),"",MAX(G17,H17))</f>
        <v/>
      </c>
      <c r="P17" s="49">
        <f>IF(OR(K17="",O17=""),"",K17-O17)</f>
        <v/>
      </c>
      <c r="Q17" s="50" t="n"/>
      <c r="R17" s="51" t="n">
        <v>26.1</v>
      </c>
      <c r="S17" s="51" t="n">
        <v>40</v>
      </c>
      <c r="T17" s="51" t="n">
        <v>13.9</v>
      </c>
      <c r="U17" s="51" t="inlineStr">
        <is>
          <t>ヤゲン904061／両端フランジ80mm／979061 V20ｲﾝｻｰﾄ＋スタック（bending.dxf の一般化・参考）</t>
        </is>
      </c>
    </row>
    <row r="18" ht="15" customHeight="1" s="28">
      <c r="A18" s="44" t="inlineStr">
        <is>
          <t>V25</t>
        </is>
      </c>
      <c r="B18" s="44" t="n">
        <v>25</v>
      </c>
      <c r="C18" s="44" t="n">
        <v>4</v>
      </c>
      <c r="D18" s="45" t="inlineStr">
        <is>
          <t>鉄</t>
        </is>
      </c>
      <c r="E18" s="44" t="n">
        <v>3.2</v>
      </c>
      <c r="F18" s="46" t="n">
        <v>18.5</v>
      </c>
      <c r="G18" s="46" t="n">
        <v>21.6</v>
      </c>
      <c r="H18" s="46" t="n">
        <v>22.5</v>
      </c>
      <c r="I18" s="47" t="n">
        <v>97</v>
      </c>
      <c r="J18" s="47" t="n"/>
      <c r="K18" s="47" t="n">
        <v>44</v>
      </c>
      <c r="L18" s="47" t="n"/>
      <c r="M18" s="47" t="n"/>
      <c r="N18" s="48" t="n"/>
      <c r="O18" s="49">
        <f>IF(AND(G18="",H18=""),"",MAX(G18,H18))</f>
        <v/>
      </c>
      <c r="P18" s="49">
        <f>IF(OR(K18="",O18=""),"",K18-O18)</f>
        <v/>
      </c>
      <c r="Q18" s="50" t="inlineStr">
        <is>
          <t>フランジA最小は修正液の上。97 と読んだ</t>
        </is>
      </c>
      <c r="R18" s="51" t="n">
        <v>25</v>
      </c>
      <c r="S18" s="51" t="n">
        <v>44</v>
      </c>
      <c r="T18" s="51" t="n">
        <v>19</v>
      </c>
      <c r="U18" s="51" t="inlineStr">
        <is>
          <t>ヤゲン904061／両端フランジ80mm／982061 V25ｲﾝｻｰﾄ＋台（図面実測）</t>
        </is>
      </c>
    </row>
    <row r="19" ht="15" customHeight="1" s="28">
      <c r="A19" s="44" t="inlineStr">
        <is>
          <t>V25</t>
        </is>
      </c>
      <c r="B19" s="44" t="n">
        <v>25</v>
      </c>
      <c r="C19" s="44" t="n">
        <v>4</v>
      </c>
      <c r="D19" s="45" t="inlineStr">
        <is>
          <t>鉄</t>
        </is>
      </c>
      <c r="E19" s="44" t="n">
        <v>4.5</v>
      </c>
      <c r="F19" s="46" t="n">
        <v>20</v>
      </c>
      <c r="G19" s="46" t="n">
        <v>25.5</v>
      </c>
      <c r="H19" s="46" t="n">
        <v>23.8</v>
      </c>
      <c r="I19" s="47" t="n">
        <v>98</v>
      </c>
      <c r="J19" s="47" t="n"/>
      <c r="K19" s="47" t="n">
        <v>46</v>
      </c>
      <c r="L19" s="47" t="n"/>
      <c r="M19" s="47" t="n"/>
      <c r="N19" s="48" t="n"/>
      <c r="O19" s="49">
        <f>IF(AND(G19="",H19=""),"",MAX(G19,H19))</f>
        <v/>
      </c>
      <c r="P19" s="49">
        <f>IF(OR(K19="",O19=""),"",K19-O19)</f>
        <v/>
      </c>
      <c r="Q19" s="50" t="n"/>
      <c r="R19" s="51" t="n">
        <v>27.1</v>
      </c>
      <c r="S19" s="51" t="n">
        <v>46</v>
      </c>
      <c r="T19" s="51" t="n">
        <v>18.9</v>
      </c>
      <c r="U19" s="51" t="inlineStr">
        <is>
          <t>ヤゲン904061／両端フランジ80mm／982061 V25ｲﾝｻｰﾄ＋台（図面実測）</t>
        </is>
      </c>
    </row>
    <row r="20" ht="15" customHeight="1" s="28">
      <c r="A20" s="44" t="inlineStr">
        <is>
          <t>V25</t>
        </is>
      </c>
      <c r="B20" s="44" t="n">
        <v>25</v>
      </c>
      <c r="C20" s="44" t="n">
        <v>4</v>
      </c>
      <c r="D20" s="45" t="inlineStr">
        <is>
          <t>鉄</t>
        </is>
      </c>
      <c r="E20" s="44" t="n">
        <v>5</v>
      </c>
      <c r="F20" s="46" t="n">
        <v>20</v>
      </c>
      <c r="G20" s="46" t="n">
        <v>27</v>
      </c>
      <c r="H20" s="46" t="n"/>
      <c r="I20" s="47" t="n">
        <v>98.5</v>
      </c>
      <c r="J20" s="47" t="n"/>
      <c r="K20" s="47" t="n">
        <v>47</v>
      </c>
      <c r="L20" s="47" t="n"/>
      <c r="M20" s="47" t="n"/>
      <c r="N20" s="48" t="n"/>
      <c r="O20" s="49">
        <f>IF(AND(G20="",H20=""),"",MAX(G20,H20))</f>
        <v/>
      </c>
      <c r="P20" s="49">
        <f>IF(OR(K20="",O20=""),"",K20-O20)</f>
        <v/>
      </c>
      <c r="Q20" s="50" t="n"/>
      <c r="R20" s="51" t="n">
        <v>27.8</v>
      </c>
      <c r="S20" s="51" t="n">
        <v>47</v>
      </c>
      <c r="T20" s="51" t="n">
        <v>19.2</v>
      </c>
      <c r="U20" s="51" t="inlineStr">
        <is>
          <t>ヤゲン904061／両端フランジ80mm／982061 V25ｲﾝｻｰﾄ＋台（図面実測）</t>
        </is>
      </c>
    </row>
    <row r="21" ht="29.85" customHeight="1" s="28">
      <c r="A21" s="44" t="inlineStr">
        <is>
          <t>V25</t>
        </is>
      </c>
      <c r="B21" s="44" t="n">
        <v>25</v>
      </c>
      <c r="C21" s="44" t="n">
        <v>4</v>
      </c>
      <c r="D21" s="45" t="inlineStr">
        <is>
          <t>鉄</t>
        </is>
      </c>
      <c r="E21" s="44" t="n">
        <v>6</v>
      </c>
      <c r="F21" s="46" t="n">
        <v>21</v>
      </c>
      <c r="G21" s="46" t="n">
        <v>30</v>
      </c>
      <c r="H21" s="46" t="n">
        <v>25.6</v>
      </c>
      <c r="I21" s="47" t="n">
        <v>99</v>
      </c>
      <c r="J21" s="47" t="n"/>
      <c r="K21" s="47" t="n">
        <v>48</v>
      </c>
      <c r="L21" s="47" t="n"/>
      <c r="M21" s="47" t="n"/>
      <c r="N21" s="48" t="n"/>
      <c r="O21" s="49">
        <f>IF(AND(G21="",H21=""),"",MAX(G21,H21))</f>
        <v/>
      </c>
      <c r="P21" s="49">
        <f>IF(OR(K21="",O21=""),"",K21-O21)</f>
        <v/>
      </c>
      <c r="Q21" s="50" t="inlineStr">
        <is>
          <t>印刷の 30／備考を修正液で消して 48 と記入。フランジB最小の欄に「ℓ200」</t>
        </is>
      </c>
      <c r="R21" s="51" t="n">
        <v>29.5</v>
      </c>
      <c r="S21" s="51" t="n">
        <v>48</v>
      </c>
      <c r="T21" s="51" t="n">
        <v>18.5</v>
      </c>
      <c r="U21" s="51" t="inlineStr">
        <is>
          <t>ヤゲン904061／両端フランジ80mm／982061 V25ｲﾝｻｰﾄ＋台（図面実測）</t>
        </is>
      </c>
    </row>
    <row r="22" ht="29.85" customHeight="1" s="28">
      <c r="A22" s="44" t="inlineStr">
        <is>
          <t>V32</t>
        </is>
      </c>
      <c r="B22" s="44" t="n">
        <v>32</v>
      </c>
      <c r="C22" s="44" t="n">
        <v>5</v>
      </c>
      <c r="D22" s="45" t="inlineStr">
        <is>
          <t>鉄</t>
        </is>
      </c>
      <c r="E22" s="44" t="n">
        <v>3.2</v>
      </c>
      <c r="F22" s="46" t="n">
        <v>22</v>
      </c>
      <c r="G22" s="46" t="n">
        <v>24.6</v>
      </c>
      <c r="H22" s="46" t="n">
        <v>37.2</v>
      </c>
      <c r="I22" s="47" t="n">
        <v>97</v>
      </c>
      <c r="J22" s="47" t="n"/>
      <c r="K22" s="47" t="n">
        <v>55</v>
      </c>
      <c r="L22" s="47" t="n"/>
      <c r="M22" s="47" t="n"/>
      <c r="N22" s="48" t="n"/>
      <c r="O22" s="49">
        <f>IF(AND(G22="",H22=""),"",MAX(G22,H22))</f>
        <v/>
      </c>
      <c r="P22" s="49">
        <f>IF(OR(K22="",O22=""),"",K22-O22)</f>
        <v/>
      </c>
      <c r="Q22" s="50" t="inlineStr">
        <is>
          <t>この行から4行を中かっこでまとめ「ℓ1500」と記入</t>
        </is>
      </c>
      <c r="R22" s="51" t="n">
        <v>54.2</v>
      </c>
      <c r="S22" s="51" t="n">
        <v>55</v>
      </c>
      <c r="T22" s="51" t="n">
        <v>0.8</v>
      </c>
      <c r="U22" s="51" t="inlineStr">
        <is>
          <t>ヤゲン904061／両端フランジ80mm／03500 V32</t>
        </is>
      </c>
    </row>
    <row r="23" ht="15" customHeight="1" s="28">
      <c r="A23" s="44" t="inlineStr">
        <is>
          <t>V32</t>
        </is>
      </c>
      <c r="B23" s="44" t="n">
        <v>32</v>
      </c>
      <c r="C23" s="44" t="n">
        <v>5</v>
      </c>
      <c r="D23" s="45" t="inlineStr">
        <is>
          <t>鉄</t>
        </is>
      </c>
      <c r="E23" s="44" t="n">
        <v>4.5</v>
      </c>
      <c r="F23" s="46" t="n">
        <v>23</v>
      </c>
      <c r="G23" s="46" t="n">
        <v>28.5</v>
      </c>
      <c r="H23" s="46" t="n">
        <v>39</v>
      </c>
      <c r="I23" s="47" t="n">
        <v>98</v>
      </c>
      <c r="J23" s="47" t="n"/>
      <c r="K23" s="47" t="n">
        <v>57</v>
      </c>
      <c r="L23" s="47" t="n"/>
      <c r="M23" s="47" t="n"/>
      <c r="N23" s="48" t="n"/>
      <c r="O23" s="49">
        <f>IF(AND(G23="",H23=""),"",MAX(G23,H23))</f>
        <v/>
      </c>
      <c r="P23" s="49">
        <f>IF(OR(K23="",O23=""),"",K23-O23)</f>
        <v/>
      </c>
      <c r="Q23" s="50" t="n"/>
      <c r="R23" s="51" t="n">
        <v>56.1</v>
      </c>
      <c r="S23" s="51" t="n">
        <v>57</v>
      </c>
      <c r="T23" s="51" t="n">
        <v>0.9</v>
      </c>
      <c r="U23" s="51" t="inlineStr">
        <is>
          <t>ヤゲン904061／両端フランジ80mm／03500 V32</t>
        </is>
      </c>
    </row>
    <row r="24" ht="15" customHeight="1" s="28">
      <c r="A24" s="44" t="inlineStr">
        <is>
          <t>V32</t>
        </is>
      </c>
      <c r="B24" s="44" t="n">
        <v>32</v>
      </c>
      <c r="C24" s="44" t="n">
        <v>5</v>
      </c>
      <c r="D24" s="45" t="inlineStr">
        <is>
          <t>鉄</t>
        </is>
      </c>
      <c r="E24" s="44" t="n">
        <v>5</v>
      </c>
      <c r="F24" s="46" t="n">
        <v>24</v>
      </c>
      <c r="G24" s="46" t="n">
        <v>30</v>
      </c>
      <c r="H24" s="46" t="n"/>
      <c r="I24" s="47" t="n">
        <v>99</v>
      </c>
      <c r="J24" s="47" t="n"/>
      <c r="K24" s="47" t="n">
        <v>58</v>
      </c>
      <c r="L24" s="47" t="n"/>
      <c r="M24" s="47" t="n"/>
      <c r="N24" s="48" t="n"/>
      <c r="O24" s="49">
        <f>IF(AND(G24="",H24=""),"",MAX(G24,H24))</f>
        <v/>
      </c>
      <c r="P24" s="49">
        <f>IF(OR(K24="",O24=""),"",K24-O24)</f>
        <v/>
      </c>
      <c r="Q24" s="50" t="n"/>
      <c r="R24" s="51" t="n">
        <v>56.7</v>
      </c>
      <c r="S24" s="51" t="n">
        <v>58</v>
      </c>
      <c r="T24" s="51" t="n">
        <v>1.3</v>
      </c>
      <c r="U24" s="51" t="inlineStr">
        <is>
          <t>ヤゲン904061／両端フランジ80mm／03500 V32</t>
        </is>
      </c>
    </row>
    <row r="25" ht="15" customHeight="1" s="28">
      <c r="A25" s="44" t="inlineStr">
        <is>
          <t>V32</t>
        </is>
      </c>
      <c r="B25" s="44" t="n">
        <v>32</v>
      </c>
      <c r="C25" s="44" t="n">
        <v>5</v>
      </c>
      <c r="D25" s="45" t="inlineStr">
        <is>
          <t>鉄</t>
        </is>
      </c>
      <c r="E25" s="44" t="n">
        <v>6</v>
      </c>
      <c r="F25" s="46" t="n">
        <v>25</v>
      </c>
      <c r="G25" s="46" t="n">
        <v>33</v>
      </c>
      <c r="H25" s="46" t="n">
        <v>41</v>
      </c>
      <c r="I25" s="47" t="n">
        <v>100</v>
      </c>
      <c r="J25" s="47" t="n"/>
      <c r="K25" s="47" t="n">
        <v>60</v>
      </c>
      <c r="L25" s="47" t="n"/>
      <c r="M25" s="47" t="n"/>
      <c r="N25" s="48" t="n"/>
      <c r="O25" s="49">
        <f>IF(AND(G25="",H25=""),"",MAX(G25,H25))</f>
        <v/>
      </c>
      <c r="P25" s="49">
        <f>IF(OR(K25="",O25=""),"",K25-O25)</f>
        <v/>
      </c>
      <c r="Q25" s="53" t="inlineStr">
        <is>
          <t>ℓ1500 のまとめはここまで</t>
        </is>
      </c>
      <c r="R25" s="51" t="n">
        <v>58.3</v>
      </c>
      <c r="S25" s="51" t="n">
        <v>60</v>
      </c>
      <c r="T25" s="51" t="n">
        <v>1.7</v>
      </c>
      <c r="U25" s="51" t="inlineStr">
        <is>
          <t>ヤゲン904061／両端フランジ80mm／03500 V32</t>
        </is>
      </c>
    </row>
    <row r="26" ht="15" customHeight="1" s="28">
      <c r="A26" s="44" t="inlineStr">
        <is>
          <t>V40</t>
        </is>
      </c>
      <c r="B26" s="44" t="n">
        <v>40</v>
      </c>
      <c r="C26" s="44" t="n">
        <v>6.5</v>
      </c>
      <c r="D26" s="45" t="inlineStr">
        <is>
          <t>鉄</t>
        </is>
      </c>
      <c r="E26" s="44" t="n">
        <v>3.2</v>
      </c>
      <c r="F26" s="46" t="n">
        <v>25</v>
      </c>
      <c r="G26" s="46" t="n">
        <v>29.1</v>
      </c>
      <c r="H26" s="46" t="n">
        <v>38.5</v>
      </c>
      <c r="I26" s="47" t="n"/>
      <c r="J26" s="47" t="n"/>
      <c r="K26" s="47" t="n"/>
      <c r="L26" s="47" t="n"/>
      <c r="M26" s="47" t="n"/>
      <c r="N26" s="48" t="n"/>
      <c r="O26" s="49">
        <f>IF(AND(G26="",H26=""),"",MAX(G26,H26))</f>
        <v/>
      </c>
      <c r="P26" s="49">
        <f>IF(OR(K26="",O26=""),"",K26-O26)</f>
        <v/>
      </c>
      <c r="Q26" s="53" t="n"/>
      <c r="R26" s="51" t="n">
        <v>54.4</v>
      </c>
      <c r="S26" s="51" t="n">
        <v>54.4</v>
      </c>
      <c r="T26" s="51" t="n"/>
      <c r="U26" s="51" t="inlineStr">
        <is>
          <t>ヤゲン904061／両端フランジ80mm／03600 V40</t>
        </is>
      </c>
    </row>
    <row r="27" ht="15" customHeight="1" s="28">
      <c r="A27" s="44" t="inlineStr">
        <is>
          <t>V40</t>
        </is>
      </c>
      <c r="B27" s="44" t="n">
        <v>40</v>
      </c>
      <c r="C27" s="44" t="n">
        <v>6.5</v>
      </c>
      <c r="D27" s="45" t="inlineStr">
        <is>
          <t>鉄</t>
        </is>
      </c>
      <c r="E27" s="44" t="n">
        <v>4.5</v>
      </c>
      <c r="F27" s="46" t="n">
        <v>27</v>
      </c>
      <c r="G27" s="46" t="n">
        <v>33</v>
      </c>
      <c r="H27" s="46" t="n">
        <v>39.8</v>
      </c>
      <c r="I27" s="47" t="n"/>
      <c r="J27" s="47" t="n"/>
      <c r="K27" s="47" t="n"/>
      <c r="L27" s="47" t="n"/>
      <c r="M27" s="47" t="n"/>
      <c r="N27" s="48" t="n"/>
      <c r="O27" s="49">
        <f>IF(AND(G27="",H27=""),"",MAX(G27,H27))</f>
        <v/>
      </c>
      <c r="P27" s="49">
        <f>IF(OR(K27="",O27=""),"",K27-O27)</f>
        <v/>
      </c>
      <c r="Q27" s="53" t="n"/>
      <c r="R27" s="51" t="n">
        <v>56.1</v>
      </c>
      <c r="S27" s="51" t="n">
        <v>56.1</v>
      </c>
      <c r="T27" s="51" t="n"/>
      <c r="U27" s="51" t="inlineStr">
        <is>
          <t>ヤゲン904061／両端フランジ80mm／03600 V40</t>
        </is>
      </c>
    </row>
    <row r="28" ht="15" customHeight="1" s="28">
      <c r="A28" s="44" t="inlineStr">
        <is>
          <t>V40</t>
        </is>
      </c>
      <c r="B28" s="44" t="n">
        <v>40</v>
      </c>
      <c r="C28" s="44" t="n">
        <v>6.5</v>
      </c>
      <c r="D28" s="45" t="inlineStr">
        <is>
          <t>鉄</t>
        </is>
      </c>
      <c r="E28" s="44" t="n">
        <v>5</v>
      </c>
      <c r="F28" s="46" t="n">
        <v>27</v>
      </c>
      <c r="G28" s="46" t="n">
        <v>34.5</v>
      </c>
      <c r="H28" s="46" t="n"/>
      <c r="I28" s="47" t="n"/>
      <c r="J28" s="47" t="n"/>
      <c r="K28" s="47" t="n"/>
      <c r="L28" s="47" t="n"/>
      <c r="M28" s="47" t="n"/>
      <c r="N28" s="48" t="n"/>
      <c r="O28" s="49">
        <f>IF(AND(G28="",H28=""),"",MAX(G28,H28))</f>
        <v/>
      </c>
      <c r="P28" s="49">
        <f>IF(OR(K28="",O28=""),"",K28-O28)</f>
        <v/>
      </c>
      <c r="Q28" s="53" t="n"/>
      <c r="R28" s="51" t="n">
        <v>56.6</v>
      </c>
      <c r="S28" s="51" t="n">
        <v>56.6</v>
      </c>
      <c r="T28" s="51" t="n"/>
      <c r="U28" s="51" t="inlineStr">
        <is>
          <t>ヤゲン904061／両端フランジ80mm／03600 V40</t>
        </is>
      </c>
    </row>
    <row r="29" ht="15" customHeight="1" s="28">
      <c r="A29" s="44" t="inlineStr">
        <is>
          <t>V40</t>
        </is>
      </c>
      <c r="B29" s="44" t="n">
        <v>40</v>
      </c>
      <c r="C29" s="44" t="n">
        <v>6.5</v>
      </c>
      <c r="D29" s="45" t="inlineStr">
        <is>
          <t>鉄</t>
        </is>
      </c>
      <c r="E29" s="44" t="n">
        <v>6</v>
      </c>
      <c r="F29" s="46" t="n">
        <v>30</v>
      </c>
      <c r="G29" s="46" t="n">
        <v>37.5</v>
      </c>
      <c r="H29" s="46" t="n">
        <v>41.3</v>
      </c>
      <c r="I29" s="47" t="n"/>
      <c r="J29" s="47" t="n"/>
      <c r="K29" s="47" t="n"/>
      <c r="L29" s="47" t="n"/>
      <c r="M29" s="47" t="n"/>
      <c r="N29" s="48" t="n"/>
      <c r="O29" s="49">
        <f>IF(AND(G29="",H29=""),"",MAX(G29,H29))</f>
        <v/>
      </c>
      <c r="P29" s="49">
        <f>IF(OR(K29="",O29=""),"",K29-O29)</f>
        <v/>
      </c>
      <c r="Q29" s="53" t="n"/>
      <c r="R29" s="51" t="n">
        <v>58.1</v>
      </c>
      <c r="S29" s="51" t="n">
        <v>58.1</v>
      </c>
      <c r="T29" s="51" t="n"/>
      <c r="U29" s="51" t="inlineStr">
        <is>
          <t>ヤゲン904061／両端フランジ80mm／03600 V40</t>
        </is>
      </c>
    </row>
    <row r="30" ht="15" customHeight="1" s="28">
      <c r="A30" s="44" t="inlineStr">
        <is>
          <t>V40</t>
        </is>
      </c>
      <c r="B30" s="44" t="n">
        <v>40</v>
      </c>
      <c r="C30" s="44" t="n">
        <v>6.5</v>
      </c>
      <c r="D30" s="45" t="inlineStr">
        <is>
          <t>鉄</t>
        </is>
      </c>
      <c r="E30" s="44" t="n">
        <v>9</v>
      </c>
      <c r="F30" s="46" t="n">
        <v>37</v>
      </c>
      <c r="G30" s="46" t="n">
        <v>46.5</v>
      </c>
      <c r="H30" s="46" t="n">
        <v>46</v>
      </c>
      <c r="I30" s="47" t="n"/>
      <c r="J30" s="47" t="n"/>
      <c r="K30" s="47" t="n"/>
      <c r="L30" s="47" t="n"/>
      <c r="M30" s="47" t="n"/>
      <c r="N30" s="48" t="n"/>
      <c r="O30" s="49">
        <f>IF(AND(G30="",H30=""),"",MAX(G30,H30))</f>
        <v/>
      </c>
      <c r="P30" s="49">
        <f>IF(OR(K30="",O30=""),"",K30-O30)</f>
        <v/>
      </c>
      <c r="Q30" s="53" t="n"/>
      <c r="R30" s="51" t="n">
        <v>63.1</v>
      </c>
      <c r="S30" s="51" t="n">
        <v>63.1</v>
      </c>
      <c r="T30" s="51" t="n"/>
      <c r="U30" s="51" t="inlineStr">
        <is>
          <t>ヤゲン904061／両端フランジ80mm／03600 V40</t>
        </is>
      </c>
    </row>
    <row r="31" ht="15" customHeight="1" s="28">
      <c r="A31" s="44" t="inlineStr">
        <is>
          <t>V50</t>
        </is>
      </c>
      <c r="B31" s="44" t="n">
        <v>50</v>
      </c>
      <c r="C31" s="44" t="n">
        <v>8</v>
      </c>
      <c r="D31" s="45" t="inlineStr">
        <is>
          <t>鉄</t>
        </is>
      </c>
      <c r="E31" s="44" t="n">
        <v>6</v>
      </c>
      <c r="F31" s="46" t="n">
        <v>35</v>
      </c>
      <c r="G31" s="46" t="n">
        <v>42</v>
      </c>
      <c r="H31" s="46" t="n"/>
      <c r="I31" s="47" t="n"/>
      <c r="J31" s="47" t="n"/>
      <c r="K31" s="47" t="n"/>
      <c r="L31" s="47" t="n"/>
      <c r="M31" s="47" t="n"/>
      <c r="N31" s="48" t="n"/>
      <c r="O31" s="49">
        <f>IF(AND(G31="",H31=""),"",MAX(G31,H31))</f>
        <v/>
      </c>
      <c r="P31" s="49">
        <f>IF(OR(K31="",O31=""),"",K31-O31)</f>
        <v/>
      </c>
      <c r="Q31" s="53" t="n"/>
      <c r="R31" s="51" t="n">
        <v>45</v>
      </c>
      <c r="S31" s="51" t="n">
        <v>45</v>
      </c>
      <c r="T31" s="51" t="n"/>
      <c r="U31" s="51" t="inlineStr">
        <is>
          <t>ヤゲン904061／両端フランジ80mm／03700 V50</t>
        </is>
      </c>
    </row>
    <row r="32" ht="15" customHeight="1" s="28">
      <c r="A32" s="44" t="inlineStr">
        <is>
          <t>V50</t>
        </is>
      </c>
      <c r="B32" s="44" t="n">
        <v>50</v>
      </c>
      <c r="C32" s="44" t="n">
        <v>8</v>
      </c>
      <c r="D32" s="45" t="inlineStr">
        <is>
          <t>鉄</t>
        </is>
      </c>
      <c r="E32" s="44" t="n">
        <v>8</v>
      </c>
      <c r="F32" s="46" t="n">
        <v>38.5</v>
      </c>
      <c r="G32" s="46" t="n">
        <v>48</v>
      </c>
      <c r="H32" s="46" t="n"/>
      <c r="I32" s="47" t="n"/>
      <c r="J32" s="47" t="n"/>
      <c r="K32" s="47" t="n"/>
      <c r="L32" s="47" t="n"/>
      <c r="M32" s="47" t="n"/>
      <c r="N32" s="48" t="n"/>
      <c r="O32" s="49">
        <f>IF(AND(G32="",H32=""),"",MAX(G32,H32))</f>
        <v/>
      </c>
      <c r="P32" s="49">
        <f>IF(OR(K32="",O32=""),"",K32-O32)</f>
        <v/>
      </c>
      <c r="Q32" s="53" t="n"/>
      <c r="R32" s="51" t="n">
        <v>47</v>
      </c>
      <c r="S32" s="51" t="n">
        <v>47</v>
      </c>
      <c r="T32" s="51" t="n"/>
      <c r="U32" s="51" t="inlineStr">
        <is>
          <t>ヤゲン904061／両端フランジ80mm／03700 V50</t>
        </is>
      </c>
    </row>
    <row r="33" ht="15" customHeight="1" s="28">
      <c r="A33" s="44" t="inlineStr">
        <is>
          <t>V63</t>
        </is>
      </c>
      <c r="B33" s="44" t="n">
        <v>63</v>
      </c>
      <c r="C33" s="44" t="n">
        <v>10</v>
      </c>
      <c r="D33" s="45" t="inlineStr">
        <is>
          <t>鉄</t>
        </is>
      </c>
      <c r="E33" s="44" t="n">
        <v>9</v>
      </c>
      <c r="F33" s="46" t="n">
        <v>45</v>
      </c>
      <c r="G33" s="46" t="n">
        <v>57</v>
      </c>
      <c r="H33" s="46" t="n">
        <v>59.6</v>
      </c>
      <c r="I33" s="47" t="n"/>
      <c r="J33" s="47" t="n"/>
      <c r="K33" s="47" t="n"/>
      <c r="L33" s="47" t="n"/>
      <c r="M33" s="47" t="n"/>
      <c r="N33" s="48" t="n"/>
      <c r="O33" s="49">
        <f>IF(AND(G33="",H33=""),"",MAX(G33,H33))</f>
        <v/>
      </c>
      <c r="P33" s="49">
        <f>IF(OR(K33="",O33=""),"",K33-O33)</f>
        <v/>
      </c>
      <c r="Q33" s="53" t="n"/>
      <c r="R33" s="51" t="n">
        <v>59.7</v>
      </c>
      <c r="S33" s="51" t="n">
        <v>59.7</v>
      </c>
      <c r="T33" s="51" t="n"/>
      <c r="U33" s="51" t="inlineStr">
        <is>
          <t>ヤゲン904061／両端フランジ80mm／03800 V63</t>
        </is>
      </c>
    </row>
    <row r="34" ht="15" customHeight="1" s="28">
      <c r="A34" s="44" t="inlineStr">
        <is>
          <t>V80</t>
        </is>
      </c>
      <c r="B34" s="44" t="n">
        <v>80</v>
      </c>
      <c r="C34" s="44" t="n">
        <v>13</v>
      </c>
      <c r="D34" s="45" t="inlineStr">
        <is>
          <t>鉄</t>
        </is>
      </c>
      <c r="E34" s="44" t="n">
        <v>9</v>
      </c>
      <c r="F34" s="46" t="n">
        <v>55</v>
      </c>
      <c r="G34" s="46" t="n">
        <v>66</v>
      </c>
      <c r="H34" s="46" t="n"/>
      <c r="I34" s="47" t="n"/>
      <c r="J34" s="47" t="n"/>
      <c r="K34" s="47" t="n"/>
      <c r="L34" s="47" t="n"/>
      <c r="M34" s="47" t="n"/>
      <c r="N34" s="48" t="n"/>
      <c r="O34" s="49">
        <f>IF(AND(G34="",H34=""),"",MAX(G34,H34))</f>
        <v/>
      </c>
      <c r="P34" s="49">
        <f>IF(OR(K34="",O34=""),"",K34-O34)</f>
        <v/>
      </c>
      <c r="Q34" s="53" t="n"/>
      <c r="R34" s="51" t="n">
        <v>71</v>
      </c>
      <c r="S34" s="51" t="n">
        <v>71</v>
      </c>
      <c r="T34" s="51" t="n"/>
      <c r="U34" s="51" t="inlineStr">
        <is>
          <t>ヤゲン904061／両端フランジ80mm／01360 V80</t>
        </is>
      </c>
    </row>
    <row r="35" ht="15" customHeight="1" s="28">
      <c r="A35" s="44" t="inlineStr">
        <is>
          <t>V80</t>
        </is>
      </c>
      <c r="B35" s="44" t="n">
        <v>80</v>
      </c>
      <c r="C35" s="44" t="n">
        <v>13</v>
      </c>
      <c r="D35" s="45" t="inlineStr">
        <is>
          <t>鉄</t>
        </is>
      </c>
      <c r="E35" s="44" t="n">
        <v>10</v>
      </c>
      <c r="F35" s="46" t="n">
        <v>55</v>
      </c>
      <c r="G35" s="46" t="n">
        <v>69</v>
      </c>
      <c r="H35" s="46" t="n"/>
      <c r="I35" s="47" t="n"/>
      <c r="J35" s="47" t="n"/>
      <c r="K35" s="47" t="n"/>
      <c r="L35" s="47" t="n"/>
      <c r="M35" s="47" t="n"/>
      <c r="N35" s="48" t="n"/>
      <c r="O35" s="49">
        <f>IF(AND(G35="",H35=""),"",MAX(G35,H35))</f>
        <v/>
      </c>
      <c r="P35" s="49">
        <f>IF(OR(K35="",O35=""),"",K35-O35)</f>
        <v/>
      </c>
      <c r="Q35" s="53" t="n"/>
      <c r="R35" s="51" t="n">
        <v>72</v>
      </c>
      <c r="S35" s="51" t="n">
        <v>72</v>
      </c>
      <c r="T35" s="51" t="n"/>
      <c r="U35" s="51" t="inlineStr">
        <is>
          <t>ヤゲン904061／両端フランジ80mm／01360 V80</t>
        </is>
      </c>
    </row>
    <row r="36" ht="15" customHeight="1" s="28">
      <c r="A36" s="44" t="inlineStr">
        <is>
          <t>V80</t>
        </is>
      </c>
      <c r="B36" s="44" t="n">
        <v>80</v>
      </c>
      <c r="C36" s="44" t="n">
        <v>13</v>
      </c>
      <c r="D36" s="45" t="inlineStr">
        <is>
          <t>鉄</t>
        </is>
      </c>
      <c r="E36" s="44" t="n">
        <v>12</v>
      </c>
      <c r="F36" s="46" t="n">
        <v>60</v>
      </c>
      <c r="G36" s="46" t="n">
        <v>75</v>
      </c>
      <c r="H36" s="46" t="n"/>
      <c r="I36" s="47" t="n"/>
      <c r="J36" s="47" t="n"/>
      <c r="K36" s="47" t="n"/>
      <c r="L36" s="47" t="n"/>
      <c r="M36" s="47" t="n"/>
      <c r="N36" s="48" t="n"/>
      <c r="O36" s="49">
        <f>IF(AND(G36="",H36=""),"",MAX(G36,H36))</f>
        <v/>
      </c>
      <c r="P36" s="49">
        <f>IF(OR(K36="",O36=""),"",K36-O36)</f>
        <v/>
      </c>
      <c r="Q36" s="53" t="n"/>
      <c r="R36" s="51" t="n">
        <v>73.90000000000001</v>
      </c>
      <c r="S36" s="51" t="n">
        <v>73.90000000000001</v>
      </c>
      <c r="T36" s="51" t="n"/>
      <c r="U36" s="51" t="inlineStr">
        <is>
          <t>ヤゲン904061／両端フランジ80mm／01360 V80</t>
        </is>
      </c>
    </row>
    <row r="37" ht="15" customHeight="1" s="28">
      <c r="A37" s="44" t="inlineStr">
        <is>
          <t>V100</t>
        </is>
      </c>
      <c r="B37" s="44" t="n">
        <v>100</v>
      </c>
      <c r="C37" s="44" t="n">
        <v>16</v>
      </c>
      <c r="D37" s="45" t="inlineStr">
        <is>
          <t>鉄</t>
        </is>
      </c>
      <c r="E37" s="44" t="n">
        <v>12</v>
      </c>
      <c r="F37" s="46" t="n">
        <v>75</v>
      </c>
      <c r="G37" s="46" t="n">
        <v>84</v>
      </c>
      <c r="H37" s="46" t="n"/>
      <c r="I37" s="47" t="n"/>
      <c r="J37" s="47" t="n"/>
      <c r="K37" s="47" t="n"/>
      <c r="L37" s="47" t="n"/>
      <c r="M37" s="47" t="n"/>
      <c r="N37" s="48" t="n"/>
      <c r="O37" s="49">
        <f>IF(AND(G37="",H37=""),"",MAX(G37,H37))</f>
        <v/>
      </c>
      <c r="P37" s="49">
        <f>IF(OR(K37="",O37=""),"",K37-O37)</f>
        <v/>
      </c>
      <c r="Q37" s="53" t="n"/>
      <c r="R37" s="51" t="inlineStr">
        <is>
          <t>算出できず</t>
        </is>
      </c>
      <c r="S37" s="51" t="n"/>
      <c r="T37" s="51" t="n"/>
      <c r="U37" s="51" t="inlineStr">
        <is>
          <t>段差を広げても不可</t>
        </is>
      </c>
    </row>
    <row r="38" ht="15" customHeight="1" s="28">
      <c r="A38" s="44" t="inlineStr">
        <is>
          <t>V125</t>
        </is>
      </c>
      <c r="B38" s="44" t="n">
        <v>125</v>
      </c>
      <c r="C38" s="44" t="n">
        <v>20</v>
      </c>
      <c r="D38" s="45" t="inlineStr">
        <is>
          <t>鉄</t>
        </is>
      </c>
      <c r="E38" s="44" t="n">
        <v>12</v>
      </c>
      <c r="F38" s="46" t="n">
        <v>90</v>
      </c>
      <c r="G38" s="46" t="n">
        <v>96</v>
      </c>
      <c r="H38" s="46" t="n"/>
      <c r="I38" s="47" t="n"/>
      <c r="J38" s="47" t="n"/>
      <c r="K38" s="47" t="n"/>
      <c r="L38" s="47" t="n"/>
      <c r="M38" s="47" t="n"/>
      <c r="N38" s="48" t="n"/>
      <c r="O38" s="49">
        <f>IF(AND(G38="",H38=""),"",MAX(G38,H38))</f>
        <v/>
      </c>
      <c r="P38" s="49">
        <f>IF(OR(K38="",O38=""),"",K38-O38)</f>
        <v/>
      </c>
      <c r="Q38" s="53" t="n"/>
      <c r="R38" s="51" t="inlineStr">
        <is>
          <t>算出できず</t>
        </is>
      </c>
      <c r="S38" s="51" t="n"/>
      <c r="T38" s="51" t="n"/>
      <c r="U38" s="51" t="inlineStr">
        <is>
          <t>段差を広げても不可</t>
        </is>
      </c>
    </row>
    <row r="39" ht="15" customHeight="1" s="28">
      <c r="A39" s="44" t="inlineStr">
        <is>
          <t>V125</t>
        </is>
      </c>
      <c r="B39" s="44" t="n">
        <v>125</v>
      </c>
      <c r="C39" s="44" t="n">
        <v>20</v>
      </c>
      <c r="D39" s="45" t="inlineStr">
        <is>
          <t>鉄</t>
        </is>
      </c>
      <c r="E39" s="44" t="n">
        <v>16</v>
      </c>
      <c r="F39" s="46" t="n">
        <v>95</v>
      </c>
      <c r="G39" s="46" t="n">
        <v>108</v>
      </c>
      <c r="H39" s="46" t="n"/>
      <c r="I39" s="47" t="n"/>
      <c r="J39" s="47" t="n"/>
      <c r="K39" s="47" t="n"/>
      <c r="L39" s="47" t="n"/>
      <c r="M39" s="47" t="n"/>
      <c r="N39" s="48" t="n"/>
      <c r="O39" s="49">
        <f>IF(AND(G39="",H39=""),"",MAX(G39,H39))</f>
        <v/>
      </c>
      <c r="P39" s="49">
        <f>IF(OR(K39="",O39=""),"",K39-O39)</f>
        <v/>
      </c>
      <c r="Q39" s="53" t="n"/>
      <c r="R39" s="51" t="inlineStr">
        <is>
          <t>算出できず</t>
        </is>
      </c>
      <c r="S39" s="51" t="n"/>
      <c r="T39" s="51" t="n"/>
      <c r="U39" s="51" t="inlineStr">
        <is>
          <t>段差を広げても不可</t>
        </is>
      </c>
    </row>
    <row r="40" ht="15" customHeight="1" s="28">
      <c r="A40" s="44" t="inlineStr">
        <is>
          <t>V160</t>
        </is>
      </c>
      <c r="B40" s="44" t="n">
        <v>160</v>
      </c>
      <c r="C40" s="44" t="n">
        <v>26</v>
      </c>
      <c r="D40" s="45" t="inlineStr">
        <is>
          <t>鉄</t>
        </is>
      </c>
      <c r="E40" s="44" t="n">
        <v>16</v>
      </c>
      <c r="F40" s="46" t="n">
        <v>110</v>
      </c>
      <c r="G40" s="46" t="n">
        <v>126</v>
      </c>
      <c r="H40" s="46" t="n"/>
      <c r="I40" s="47" t="n"/>
      <c r="J40" s="47" t="n"/>
      <c r="K40" s="47" t="n"/>
      <c r="L40" s="47" t="n"/>
      <c r="M40" s="47" t="n"/>
      <c r="N40" s="48" t="n"/>
      <c r="O40" s="49">
        <f>IF(AND(G40="",H40=""),"",MAX(G40,H40))</f>
        <v/>
      </c>
      <c r="P40" s="49">
        <f>IF(OR(K40="",O40=""),"",K40-O40)</f>
        <v/>
      </c>
      <c r="Q40" s="53" t="n"/>
      <c r="R40" s="51" t="inlineStr">
        <is>
          <t>算出できず</t>
        </is>
      </c>
      <c r="S40" s="51" t="n"/>
      <c r="T40" s="51" t="n"/>
      <c r="U40" s="51" t="inlineStr">
        <is>
          <t>段差を広げても不可</t>
        </is>
      </c>
    </row>
    <row r="41" ht="15" customHeight="1" s="28">
      <c r="A41" s="44" t="inlineStr">
        <is>
          <t>V160</t>
        </is>
      </c>
      <c r="B41" s="44" t="n">
        <v>160</v>
      </c>
      <c r="C41" s="44" t="n">
        <v>26</v>
      </c>
      <c r="D41" s="45" t="inlineStr">
        <is>
          <t>鉄</t>
        </is>
      </c>
      <c r="E41" s="44" t="n">
        <v>19</v>
      </c>
      <c r="F41" s="46" t="n">
        <v>115</v>
      </c>
      <c r="G41" s="46" t="n">
        <v>135</v>
      </c>
      <c r="H41" s="46" t="n"/>
      <c r="I41" s="47" t="n"/>
      <c r="J41" s="47" t="n"/>
      <c r="K41" s="47" t="n"/>
      <c r="L41" s="47" t="n"/>
      <c r="M41" s="47" t="n"/>
      <c r="N41" s="48" t="n"/>
      <c r="O41" s="49">
        <f>IF(AND(G41="",H41=""),"",MAX(G41,H41))</f>
        <v/>
      </c>
      <c r="P41" s="49">
        <f>IF(OR(K41="",O41=""),"",K41-O41)</f>
        <v/>
      </c>
      <c r="Q41" s="53" t="n"/>
      <c r="R41" s="51" t="inlineStr">
        <is>
          <t>算出できず</t>
        </is>
      </c>
      <c r="S41" s="51" t="n"/>
      <c r="T41" s="51" t="n"/>
      <c r="U41" s="51" t="inlineStr">
        <is>
          <t>段差を広げても不可</t>
        </is>
      </c>
    </row>
    <row r="42" ht="15" customHeight="1" s="28">
      <c r="A42" s="44" t="inlineStr">
        <is>
          <t>V160</t>
        </is>
      </c>
      <c r="B42" s="44" t="n">
        <v>160</v>
      </c>
      <c r="C42" s="44" t="n">
        <v>26</v>
      </c>
      <c r="D42" s="45" t="inlineStr">
        <is>
          <t>鉄</t>
        </is>
      </c>
      <c r="E42" s="44" t="n">
        <v>22</v>
      </c>
      <c r="F42" s="46" t="n">
        <v>131</v>
      </c>
      <c r="G42" s="46" t="n">
        <v>144</v>
      </c>
      <c r="H42" s="46" t="n"/>
      <c r="I42" s="47" t="n"/>
      <c r="J42" s="47" t="n"/>
      <c r="K42" s="47" t="n"/>
      <c r="L42" s="47" t="n"/>
      <c r="M42" s="47" t="n"/>
      <c r="N42" s="48" t="n"/>
      <c r="O42" s="49">
        <f>IF(AND(G42="",H42=""),"",MAX(G42,H42))</f>
        <v/>
      </c>
      <c r="P42" s="49">
        <f>IF(OR(K42="",O42=""),"",K42-O42)</f>
        <v/>
      </c>
      <c r="Q42" s="53" t="n"/>
      <c r="R42" s="51" t="inlineStr">
        <is>
          <t>算出できず</t>
        </is>
      </c>
      <c r="S42" s="51" t="n"/>
      <c r="T42" s="51" t="n"/>
      <c r="U42" s="51" t="inlineStr">
        <is>
          <t>段差を広げても不可</t>
        </is>
      </c>
    </row>
    <row r="43" ht="15" customHeight="1" s="28">
      <c r="A43" s="43" t="inlineStr">
        <is>
          <t>材質：縞</t>
        </is>
      </c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</row>
    <row r="44" ht="15" customHeight="1" s="28">
      <c r="A44" s="44" t="inlineStr">
        <is>
          <t>V25</t>
        </is>
      </c>
      <c r="B44" s="44" t="n">
        <v>25</v>
      </c>
      <c r="C44" s="44" t="n">
        <v>4</v>
      </c>
      <c r="D44" s="45" t="inlineStr">
        <is>
          <t>縞</t>
        </is>
      </c>
      <c r="E44" s="44" t="n">
        <v>2.3</v>
      </c>
      <c r="F44" s="46" t="n">
        <v>18.5</v>
      </c>
      <c r="G44" s="46" t="n">
        <v>18.9</v>
      </c>
      <c r="H44" s="46" t="n"/>
      <c r="I44" s="47" t="n"/>
      <c r="J44" s="47" t="n"/>
      <c r="K44" s="47" t="n"/>
      <c r="L44" s="47" t="n"/>
      <c r="M44" s="47" t="n"/>
      <c r="N44" s="48" t="n"/>
      <c r="O44" s="49">
        <f>IF(AND(G44="",H44=""),"",MAX(G44,H44))</f>
        <v/>
      </c>
      <c r="P44" s="49">
        <f>IF(OR(K44="",O44=""),"",K44-O44)</f>
        <v/>
      </c>
      <c r="Q44" s="53" t="n"/>
      <c r="R44" s="51" t="n">
        <v>23.2</v>
      </c>
      <c r="S44" s="51" t="n">
        <v>23.2</v>
      </c>
      <c r="T44" s="51" t="n"/>
      <c r="U44" s="51" t="inlineStr">
        <is>
          <t>ヤゲン904061／両端フランジ80mm／982061 V25ｲﾝｻｰﾄ＋台（図面実測）</t>
        </is>
      </c>
    </row>
    <row r="45" ht="15" customHeight="1" s="28">
      <c r="A45" s="44" t="inlineStr">
        <is>
          <t>V25</t>
        </is>
      </c>
      <c r="B45" s="44" t="n">
        <v>25</v>
      </c>
      <c r="C45" s="44" t="n">
        <v>4</v>
      </c>
      <c r="D45" s="45" t="inlineStr">
        <is>
          <t>縞</t>
        </is>
      </c>
      <c r="E45" s="44" t="n">
        <v>3.2</v>
      </c>
      <c r="F45" s="46" t="n">
        <v>19</v>
      </c>
      <c r="G45" s="46" t="n">
        <v>21.6</v>
      </c>
      <c r="H45" s="46" t="n"/>
      <c r="I45" s="47" t="n"/>
      <c r="J45" s="47" t="n"/>
      <c r="K45" s="47" t="n"/>
      <c r="L45" s="47" t="n"/>
      <c r="M45" s="47" t="n"/>
      <c r="N45" s="48" t="n"/>
      <c r="O45" s="49">
        <f>IF(AND(G45="",H45=""),"",MAX(G45,H45))</f>
        <v/>
      </c>
      <c r="P45" s="49">
        <f>IF(OR(K45="",O45=""),"",K45-O45)</f>
        <v/>
      </c>
      <c r="Q45" s="53" t="n"/>
      <c r="R45" s="51" t="n">
        <v>24.7</v>
      </c>
      <c r="S45" s="51" t="n">
        <v>24.7</v>
      </c>
      <c r="T45" s="51" t="n"/>
      <c r="U45" s="51" t="inlineStr">
        <is>
          <t>ヤゲン904061／両端フランジ80mm／982061 V25ｲﾝｻｰﾄ＋台（図面実測）</t>
        </is>
      </c>
    </row>
    <row r="46" ht="15" customHeight="1" s="28">
      <c r="A46" s="44" t="inlineStr">
        <is>
          <t>V25</t>
        </is>
      </c>
      <c r="B46" s="44" t="n">
        <v>25</v>
      </c>
      <c r="C46" s="44" t="n">
        <v>4</v>
      </c>
      <c r="D46" s="45" t="inlineStr">
        <is>
          <t>縞</t>
        </is>
      </c>
      <c r="E46" s="44" t="n">
        <v>4.5</v>
      </c>
      <c r="F46" s="46" t="n">
        <v>20</v>
      </c>
      <c r="G46" s="46" t="n">
        <v>25.5</v>
      </c>
      <c r="H46" s="46" t="n"/>
      <c r="I46" s="47" t="n"/>
      <c r="J46" s="47" t="n"/>
      <c r="K46" s="47" t="n"/>
      <c r="L46" s="47" t="n"/>
      <c r="M46" s="47" t="n"/>
      <c r="N46" s="48" t="n"/>
      <c r="O46" s="49">
        <f>IF(AND(G46="",H46=""),"",MAX(G46,H46))</f>
        <v/>
      </c>
      <c r="P46" s="49">
        <f>IF(OR(K46="",O46=""),"",K46-O46)</f>
        <v/>
      </c>
      <c r="Q46" s="53" t="n"/>
      <c r="R46" s="51" t="n">
        <v>27.1</v>
      </c>
      <c r="S46" s="51" t="n">
        <v>27.1</v>
      </c>
      <c r="T46" s="51" t="n"/>
      <c r="U46" s="51" t="inlineStr">
        <is>
          <t>ヤゲン904061／両端フランジ80mm／982061 V25ｲﾝｻｰﾄ＋台（図面実測）</t>
        </is>
      </c>
    </row>
    <row r="47" ht="15" customHeight="1" s="28">
      <c r="A47" s="44" t="inlineStr">
        <is>
          <t>V40</t>
        </is>
      </c>
      <c r="B47" s="44" t="n">
        <v>40</v>
      </c>
      <c r="C47" s="44" t="n">
        <v>6.5</v>
      </c>
      <c r="D47" s="45" t="inlineStr">
        <is>
          <t>縞</t>
        </is>
      </c>
      <c r="E47" s="44" t="n">
        <v>3.2</v>
      </c>
      <c r="F47" s="46" t="n">
        <v>27</v>
      </c>
      <c r="G47" s="46" t="n">
        <v>29.1</v>
      </c>
      <c r="H47" s="46" t="n"/>
      <c r="I47" s="47" t="n"/>
      <c r="J47" s="47" t="n"/>
      <c r="K47" s="47" t="n"/>
      <c r="L47" s="47" t="n"/>
      <c r="M47" s="47" t="n"/>
      <c r="N47" s="48" t="n"/>
      <c r="O47" s="49">
        <f>IF(AND(G47="",H47=""),"",MAX(G47,H47))</f>
        <v/>
      </c>
      <c r="P47" s="49">
        <f>IF(OR(K47="",O47=""),"",K47-O47)</f>
        <v/>
      </c>
      <c r="Q47" s="53" t="n"/>
      <c r="R47" s="51" t="n">
        <v>53.5</v>
      </c>
      <c r="S47" s="51" t="n">
        <v>53.5</v>
      </c>
      <c r="T47" s="51" t="n"/>
      <c r="U47" s="51" t="inlineStr">
        <is>
          <t>ヤゲン904061／両端フランジ80mm／03600 V40</t>
        </is>
      </c>
    </row>
    <row r="48" ht="15" customHeight="1" s="28">
      <c r="A48" s="44" t="inlineStr">
        <is>
          <t>V40</t>
        </is>
      </c>
      <c r="B48" s="44" t="n">
        <v>40</v>
      </c>
      <c r="C48" s="44" t="n">
        <v>6.5</v>
      </c>
      <c r="D48" s="45" t="inlineStr">
        <is>
          <t>縞</t>
        </is>
      </c>
      <c r="E48" s="44" t="n">
        <v>4.5</v>
      </c>
      <c r="F48" s="46" t="n">
        <v>29</v>
      </c>
      <c r="G48" s="46" t="n">
        <v>33</v>
      </c>
      <c r="H48" s="46" t="n"/>
      <c r="I48" s="47" t="n"/>
      <c r="J48" s="47" t="n"/>
      <c r="K48" s="47" t="n"/>
      <c r="L48" s="47" t="n"/>
      <c r="M48" s="47" t="n"/>
      <c r="N48" s="48" t="n"/>
      <c r="O48" s="49">
        <f>IF(AND(G48="",H48=""),"",MAX(G48,H48))</f>
        <v/>
      </c>
      <c r="P48" s="49">
        <f>IF(OR(K48="",O48=""),"",K48-O48)</f>
        <v/>
      </c>
      <c r="Q48" s="53" t="n"/>
      <c r="R48" s="51" t="n">
        <v>56.1</v>
      </c>
      <c r="S48" s="51" t="n">
        <v>56.1</v>
      </c>
      <c r="T48" s="51" t="n"/>
      <c r="U48" s="51" t="inlineStr">
        <is>
          <t>ヤゲン904061／両端フランジ80mm／03600 V40</t>
        </is>
      </c>
    </row>
    <row r="49" ht="15" customHeight="1" s="28">
      <c r="A49" s="44" t="inlineStr">
        <is>
          <t>V40</t>
        </is>
      </c>
      <c r="B49" s="44" t="n">
        <v>40</v>
      </c>
      <c r="C49" s="44" t="n">
        <v>6.5</v>
      </c>
      <c r="D49" s="45" t="inlineStr">
        <is>
          <t>縞</t>
        </is>
      </c>
      <c r="E49" s="44" t="n">
        <v>6</v>
      </c>
      <c r="F49" s="46" t="n">
        <v>30</v>
      </c>
      <c r="G49" s="46" t="n">
        <v>37.5</v>
      </c>
      <c r="H49" s="46" t="n"/>
      <c r="I49" s="47" t="n"/>
      <c r="J49" s="47" t="n"/>
      <c r="K49" s="47" t="n"/>
      <c r="L49" s="47" t="n"/>
      <c r="M49" s="47" t="n"/>
      <c r="N49" s="48" t="n"/>
      <c r="O49" s="49">
        <f>IF(AND(G49="",H49=""),"",MAX(G49,H49))</f>
        <v/>
      </c>
      <c r="P49" s="49">
        <f>IF(OR(K49="",O49=""),"",K49-O49)</f>
        <v/>
      </c>
      <c r="Q49" s="53" t="n"/>
      <c r="R49" s="51" t="n">
        <v>58.1</v>
      </c>
      <c r="S49" s="51" t="n">
        <v>58.1</v>
      </c>
      <c r="T49" s="51" t="n"/>
      <c r="U49" s="51" t="inlineStr">
        <is>
          <t>ヤゲン904061／両端フランジ80mm／03600 V40</t>
        </is>
      </c>
    </row>
    <row r="50" ht="15" customHeight="1" s="28">
      <c r="A50" s="44" t="inlineStr">
        <is>
          <t>V80</t>
        </is>
      </c>
      <c r="B50" s="44" t="n">
        <v>80</v>
      </c>
      <c r="C50" s="44" t="n">
        <v>13</v>
      </c>
      <c r="D50" s="45" t="inlineStr">
        <is>
          <t>縞</t>
        </is>
      </c>
      <c r="E50" s="44" t="n">
        <v>9</v>
      </c>
      <c r="F50" s="46" t="n">
        <v>56</v>
      </c>
      <c r="G50" s="46" t="n">
        <v>66</v>
      </c>
      <c r="H50" s="46" t="n"/>
      <c r="I50" s="47" t="n"/>
      <c r="J50" s="47" t="n"/>
      <c r="K50" s="47" t="n"/>
      <c r="L50" s="47" t="n"/>
      <c r="M50" s="47" t="n"/>
      <c r="N50" s="48" t="n"/>
      <c r="O50" s="49">
        <f>IF(AND(G50="",H50=""),"",MAX(G50,H50))</f>
        <v/>
      </c>
      <c r="P50" s="49">
        <f>IF(OR(K50="",O50=""),"",K50-O50)</f>
        <v/>
      </c>
      <c r="Q50" s="53" t="n"/>
      <c r="R50" s="51" t="n">
        <v>71</v>
      </c>
      <c r="S50" s="51" t="n">
        <v>71</v>
      </c>
      <c r="T50" s="51" t="n"/>
      <c r="U50" s="51" t="inlineStr">
        <is>
          <t>ヤゲン904061／両端フランジ80mm／01360 V80</t>
        </is>
      </c>
    </row>
    <row r="51" ht="15" customHeight="1" s="28">
      <c r="A51" s="44" t="inlineStr">
        <is>
          <t>V80</t>
        </is>
      </c>
      <c r="B51" s="44" t="n">
        <v>80</v>
      </c>
      <c r="C51" s="44" t="n">
        <v>13</v>
      </c>
      <c r="D51" s="45" t="inlineStr">
        <is>
          <t>縞</t>
        </is>
      </c>
      <c r="E51" s="44" t="n">
        <v>12</v>
      </c>
      <c r="F51" s="46" t="n">
        <v>60</v>
      </c>
      <c r="G51" s="46" t="n">
        <v>75</v>
      </c>
      <c r="H51" s="46" t="n"/>
      <c r="I51" s="47" t="n"/>
      <c r="J51" s="47" t="n"/>
      <c r="K51" s="47" t="n"/>
      <c r="L51" s="47" t="n"/>
      <c r="M51" s="47" t="n"/>
      <c r="N51" s="48" t="n"/>
      <c r="O51" s="49">
        <f>IF(AND(G51="",H51=""),"",MAX(G51,H51))</f>
        <v/>
      </c>
      <c r="P51" s="49">
        <f>IF(OR(K51="",O51=""),"",K51-O51)</f>
        <v/>
      </c>
      <c r="Q51" s="53" t="n"/>
      <c r="R51" s="51" t="n">
        <v>73.90000000000001</v>
      </c>
      <c r="S51" s="51" t="n">
        <v>73.90000000000001</v>
      </c>
      <c r="T51" s="51" t="n"/>
      <c r="U51" s="51" t="inlineStr">
        <is>
          <t>ヤゲン904061／両端フランジ80mm／01360 V80</t>
        </is>
      </c>
    </row>
    <row r="52" ht="15" customHeight="1" s="28">
      <c r="A52" s="43" t="inlineStr">
        <is>
          <t>その他（表に行が無い組合せ・特殊なケース）　下型・材質・板厚も書いてください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</row>
    <row r="53" ht="15" customHeight="1" s="28">
      <c r="A53" s="47" t="n"/>
      <c r="B53" s="47" t="n"/>
      <c r="C53" s="47" t="n"/>
      <c r="D53" s="47" t="n"/>
      <c r="E53" s="47" t="n"/>
      <c r="F53" s="46" t="n"/>
      <c r="G53" s="46" t="n"/>
      <c r="H53" s="46" t="n"/>
      <c r="I53" s="47" t="n"/>
      <c r="J53" s="47" t="n"/>
      <c r="K53" s="47" t="n"/>
      <c r="L53" s="47" t="n"/>
      <c r="M53" s="47" t="n"/>
      <c r="N53" s="47" t="n"/>
      <c r="O53" s="49">
        <f>IF(AND(G53="",H53=""),"",MAX(G53,H53))</f>
        <v/>
      </c>
      <c r="P53" s="49">
        <f>IF(OR(K53="",O53=""),"",K53-O53)</f>
        <v/>
      </c>
      <c r="Q53" s="54" t="n"/>
    </row>
    <row r="54" ht="15" customHeight="1" s="28">
      <c r="A54" s="47" t="n"/>
      <c r="B54" s="47" t="n"/>
      <c r="C54" s="47" t="n"/>
      <c r="D54" s="47" t="n"/>
      <c r="E54" s="47" t="n"/>
      <c r="F54" s="46" t="n"/>
      <c r="G54" s="46" t="n"/>
      <c r="H54" s="46" t="n"/>
      <c r="I54" s="47" t="n"/>
      <c r="J54" s="47" t="n"/>
      <c r="K54" s="47" t="n"/>
      <c r="L54" s="47" t="n"/>
      <c r="M54" s="47" t="n"/>
      <c r="N54" s="47" t="n"/>
      <c r="O54" s="49">
        <f>IF(AND(G54="",H54=""),"",MAX(G54,H54))</f>
        <v/>
      </c>
      <c r="P54" s="49">
        <f>IF(OR(K54="",O54=""),"",K54-O54)</f>
        <v/>
      </c>
      <c r="Q54" s="54" t="n"/>
    </row>
    <row r="55" ht="15" customHeight="1" s="28">
      <c r="A55" s="47" t="n"/>
      <c r="B55" s="47" t="n"/>
      <c r="C55" s="47" t="n"/>
      <c r="D55" s="47" t="n"/>
      <c r="E55" s="47" t="n"/>
      <c r="F55" s="46" t="n"/>
      <c r="G55" s="46" t="n"/>
      <c r="H55" s="46" t="n"/>
      <c r="I55" s="47" t="n"/>
      <c r="J55" s="47" t="n"/>
      <c r="K55" s="47" t="n"/>
      <c r="L55" s="47" t="n"/>
      <c r="M55" s="47" t="n"/>
      <c r="N55" s="47" t="n"/>
      <c r="O55" s="49">
        <f>IF(AND(G55="",H55=""),"",MAX(G55,H55))</f>
        <v/>
      </c>
      <c r="P55" s="49">
        <f>IF(OR(K55="",O55=""),"",K55-O55)</f>
        <v/>
      </c>
      <c r="Q55" s="54" t="n"/>
    </row>
    <row r="56" ht="15" customHeight="1" s="28">
      <c r="A56" s="47" t="n"/>
      <c r="B56" s="47" t="n"/>
      <c r="C56" s="47" t="n"/>
      <c r="D56" s="47" t="n"/>
      <c r="E56" s="47" t="n"/>
      <c r="F56" s="46" t="n"/>
      <c r="G56" s="46" t="n"/>
      <c r="H56" s="46" t="n"/>
      <c r="I56" s="47" t="n"/>
      <c r="J56" s="47" t="n"/>
      <c r="K56" s="47" t="n"/>
      <c r="L56" s="47" t="n"/>
      <c r="M56" s="47" t="n"/>
      <c r="N56" s="47" t="n"/>
      <c r="O56" s="49">
        <f>IF(AND(G56="",H56=""),"",MAX(G56,H56))</f>
        <v/>
      </c>
      <c r="P56" s="49">
        <f>IF(OR(K56="",O56=""),"",K56-O56)</f>
        <v/>
      </c>
      <c r="Q56" s="54" t="n"/>
    </row>
    <row r="57" ht="15" customHeight="1" s="28">
      <c r="A57" s="47" t="n"/>
      <c r="B57" s="47" t="n"/>
      <c r="C57" s="47" t="n"/>
      <c r="D57" s="47" t="n"/>
      <c r="E57" s="47" t="n"/>
      <c r="F57" s="46" t="n"/>
      <c r="G57" s="46" t="n"/>
      <c r="H57" s="46" t="n"/>
      <c r="I57" s="47" t="n"/>
      <c r="J57" s="47" t="n"/>
      <c r="K57" s="47" t="n"/>
      <c r="L57" s="47" t="n"/>
      <c r="M57" s="47" t="n"/>
      <c r="N57" s="47" t="n"/>
      <c r="O57" s="49">
        <f>IF(AND(G57="",H57=""),"",MAX(G57,H57))</f>
        <v/>
      </c>
      <c r="P57" s="49">
        <f>IF(OR(K57="",O57=""),"",K57-O57)</f>
        <v/>
      </c>
      <c r="Q57" s="54" t="n"/>
    </row>
    <row r="58" ht="15" customHeight="1" s="28">
      <c r="A58" s="47" t="n"/>
      <c r="B58" s="47" t="n"/>
      <c r="C58" s="47" t="n"/>
      <c r="D58" s="47" t="n"/>
      <c r="E58" s="47" t="n"/>
      <c r="F58" s="46" t="n"/>
      <c r="G58" s="46" t="n"/>
      <c r="H58" s="46" t="n"/>
      <c r="I58" s="47" t="n"/>
      <c r="J58" s="47" t="n"/>
      <c r="K58" s="47" t="n"/>
      <c r="L58" s="47" t="n"/>
      <c r="M58" s="47" t="n"/>
      <c r="N58" s="47" t="n"/>
      <c r="O58" s="49">
        <f>IF(AND(G58="",H58=""),"",MAX(G58,H58))</f>
        <v/>
      </c>
      <c r="P58" s="49">
        <f>IF(OR(K58="",O58=""),"",K58-O58)</f>
        <v/>
      </c>
      <c r="Q58" s="54" t="n"/>
    </row>
    <row r="60" ht="14.15" customHeight="1" s="28">
      <c r="A60" s="30" t="inlineStr">
        <is>
          <t>※ 段差S 幾何 … 断面の図面がある5型（V12・V25・V32・V40・V63）だけ出せます。空欄は図面が無い型です。</t>
        </is>
      </c>
    </row>
    <row r="61" ht="14.15" customHeight="1" s="28">
      <c r="A61" s="30" t="inlineStr">
        <is>
          <t>※ 予想 最小段差S（O列）＝ 暫定（G列）と 幾何（H列）の大きいほう。差（P列）がプラスなら実際のほうが大きい、マイナスなら予想より小さくできたということです。</t>
        </is>
      </c>
    </row>
    <row r="62" ht="14.15" customHeight="1" s="28">
      <c r="A62" s="31" t="inlineStr">
        <is>
          <t>※ I〜N 列（うすい黄）だけ入力してください。青と緑の列は計算・参考なのでさわらないでください。</t>
        </is>
      </c>
    </row>
    <row r="63" ht="14.15" customHeight="1" s="28">
      <c r="A63" s="30" t="inlineStr">
        <is>
          <t>※ 出典：Z曲げ_実績記入シート_A3.pdf（2026-09）。手書きの数字は写真から読み取ったものです。Q列の注意書きを見て、違っていたら直してください。</t>
        </is>
      </c>
    </row>
    <row r="66" ht="15" customHeight="1" s="28">
      <c r="A66" s="55" t="inlineStr">
        <is>
          <t>記入例：</t>
        </is>
      </c>
      <c r="B66" s="31" t="inlineStr">
        <is>
          <t>V25</t>
        </is>
      </c>
      <c r="C66" s="30" t="n">
        <v>25</v>
      </c>
      <c r="D66" s="30" t="n">
        <v>4</v>
      </c>
      <c r="E66" s="30" t="inlineStr">
        <is>
          <t>鉄</t>
        </is>
      </c>
      <c r="F66" s="30" t="n">
        <v>3.2</v>
      </c>
      <c r="G66" s="30" t="n">
        <v>18.5</v>
      </c>
      <c r="H66" s="30" t="n">
        <v>21.6</v>
      </c>
      <c r="I66" s="56" t="n">
        <v>20</v>
      </c>
      <c r="J66" s="57" t="inlineStr">
        <is>
          <t>なし</t>
        </is>
      </c>
      <c r="K66" s="57" t="n">
        <v>23</v>
      </c>
      <c r="L66" s="57" t="n">
        <v>15</v>
      </c>
      <c r="M66" s="57" t="inlineStr">
        <is>
          <t>なし</t>
        </is>
      </c>
      <c r="N66" s="57" t="inlineStr">
        <is>
          <t>実際に曲げた実績</t>
        </is>
      </c>
    </row>
    <row r="68">
      <c r="A68" t="inlineStr">
        <is>
          <t>※ シミュレーション列（R〜U）は bending-simulator.jsx の干渉判定そのものを使って、</t>
        </is>
      </c>
    </row>
    <row r="69">
      <c r="A69" t="inlineStr">
        <is>
          <t xml:space="preserve">　 その段差をどこまで小さくできるかを二分探索した結果です（scripts/z-sim.mjs）。</t>
        </is>
      </c>
    </row>
    <row r="70">
      <c r="A70" t="inlineStr">
        <is>
          <t>※ 条件：上型はヤゲン904061、両端フランジは80mm（折り曲げ表の最小外寸が大きい型はその値＋15mm）。</t>
        </is>
      </c>
    </row>
    <row r="71">
      <c r="A71" t="inlineStr">
        <is>
          <t xml:space="preserve">　 曲げ順は 1曲げ目→2曲げ目（2工程目は裏返し）。金型は各V幅の代表1本、実測台があるものは台込み。</t>
        </is>
      </c>
    </row>
    <row r="72">
      <c r="A72" t="inlineStr">
        <is>
          <t>※「厳しいほう」＝実績とシミュレーションの大きいほう。実務ではこちらを下回らないようにしてください。</t>
        </is>
      </c>
    </row>
    <row r="73">
      <c r="A73" t="inlineStr">
        <is>
          <t>※「実績−sim」がプラスなら実績のほうが大きい（幾何の計算が甘い）、マイナスならシミュレーションのほうが厳しい。</t>
        </is>
      </c>
    </row>
    <row r="74">
      <c r="A74" t="inlineStr">
        <is>
          <t>※ V100以上が算出できずなのは、折り曲げ表の最小外寸が大きくフランジが長くなるため、段差を広げても通らないためです。</t>
        </is>
      </c>
    </row>
  </sheetData>
  <mergeCells count="11">
    <mergeCell ref="A8:Q8"/>
    <mergeCell ref="A61:Q61"/>
    <mergeCell ref="F6:H6"/>
    <mergeCell ref="O6:P6"/>
    <mergeCell ref="A43:Q43"/>
    <mergeCell ref="A62:Q62"/>
    <mergeCell ref="A52:Q52"/>
    <mergeCell ref="A60:Q60"/>
    <mergeCell ref="A6:E6"/>
    <mergeCell ref="I6:N6"/>
    <mergeCell ref="A63:Q63"/>
  </mergeCells>
  <dataValidations count="1">
    <dataValidation sqref="I8:M58" showDropDown="0" showInputMessage="0" showErrorMessage="0" allowBlank="1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2026-09-10T15:24:00Z</dcterms:created>
  <dcterms:modified xsi:type="dcterms:W3CDTF">2026-09-10T21:43:08Z</dcterms:modified>
  <cp:revision>0</cp:revision>
</cp:coreProperties>
</file>